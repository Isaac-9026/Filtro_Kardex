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CB63FDD3-07EB-467B-B930-D444C195D9ED}" xr6:coauthVersionLast="47" xr6:coauthVersionMax="47" xr10:uidLastSave="{00000000-0000-0000-0000-000000000000}"/>
  <bookViews>
    <workbookView xWindow="-120" yWindow="-120" windowWidth="20730" windowHeight="11310" xr2:uid="{6F4D1C03-D4A0-443A-84E8-9BFAA0EC31B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P4" i="1" s="1"/>
  <c r="M4" i="1"/>
  <c r="P3" i="1"/>
  <c r="J3" i="1"/>
</calcChain>
</file>

<file path=xl/sharedStrings.xml><?xml version="1.0" encoding="utf-8"?>
<sst xmlns="http://schemas.openxmlformats.org/spreadsheetml/2006/main" count="30" uniqueCount="20">
  <si>
    <t>Código</t>
  </si>
  <si>
    <t>Descripción</t>
  </si>
  <si>
    <t>COMPROBANTE</t>
  </si>
  <si>
    <t>Tipo de Operación</t>
  </si>
  <si>
    <t>ENTRADAS</t>
  </si>
  <si>
    <t>SALIDAS</t>
  </si>
  <si>
    <t>SALDO FINAL</t>
  </si>
  <si>
    <t>Fecha</t>
  </si>
  <si>
    <t>Tipo</t>
  </si>
  <si>
    <t>Serie</t>
  </si>
  <si>
    <t>Número</t>
  </si>
  <si>
    <t>Cantidad</t>
  </si>
  <si>
    <t>Costo Unitario</t>
  </si>
  <si>
    <t>Costo Total</t>
  </si>
  <si>
    <t xml:space="preserve"> </t>
  </si>
  <si>
    <t>Saldo Anterior</t>
  </si>
  <si>
    <t>01 Venta</t>
  </si>
  <si>
    <t>021117</t>
  </si>
  <si>
    <t>BS07</t>
  </si>
  <si>
    <t>Maiz blanco molido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</si>
</sst>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"/>
    <numFmt numFmtId="165" formatCode="0000"/>
    <numFmt numFmtId="166" formatCode="00000000"/>
    <numFmt numFmtId="167" formatCode="#,##0.000"/>
    <numFmt numFmtId="168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/>
    <xf numFmtId="14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wrapText="1"/>
    </xf>
    <xf numFmtId="166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7" fontId="0" fillId="0" borderId="1" xfId="0" applyNumberFormat="1" applyBorder="1"/>
    <xf numFmtId="168" fontId="0" fillId="0" borderId="1" xfId="0" applyNumberFormat="1" applyBorder="1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C7049-6D05-43E0-8A23-66C443100E50}">
  <dimension ref="A1:P4"/>
  <sheetViews>
    <sheetView tabSelected="1" workbookViewId="0">
      <selection activeCell="J4" sqref="J4"/>
    </sheetView>
  </sheetViews>
  <sheetFormatPr baseColWidth="10" defaultRowHeight="15" x14ac:dyDescent="0.25"/>
  <sheetData>
    <row r="1" spans="1:16" x14ac:dyDescent="0.25">
      <c r="A1" s="14" t="s">
        <v>0</v>
      </c>
      <c r="B1" s="14" t="s">
        <v>1</v>
      </c>
      <c r="C1" s="11" t="s">
        <v>2</v>
      </c>
      <c r="D1" s="12"/>
      <c r="E1" s="12"/>
      <c r="F1" s="13"/>
      <c r="G1" s="16" t="s">
        <v>3</v>
      </c>
      <c r="H1" s="11" t="s">
        <v>4</v>
      </c>
      <c r="I1" s="12"/>
      <c r="J1" s="13"/>
      <c r="K1" s="11" t="s">
        <v>5</v>
      </c>
      <c r="L1" s="12"/>
      <c r="M1" s="13"/>
      <c r="N1" s="11" t="s">
        <v>6</v>
      </c>
      <c r="O1" s="12"/>
      <c r="P1" s="13"/>
    </row>
    <row r="2" spans="1:16" ht="30" x14ac:dyDescent="0.25">
      <c r="A2" s="15"/>
      <c r="B2" s="15"/>
      <c r="C2" s="1" t="s">
        <v>7</v>
      </c>
      <c r="D2" s="1" t="s">
        <v>8</v>
      </c>
      <c r="E2" s="1" t="s">
        <v>9</v>
      </c>
      <c r="F2" s="1" t="s">
        <v>10</v>
      </c>
      <c r="G2" s="17"/>
      <c r="H2" s="2" t="s">
        <v>11</v>
      </c>
      <c r="I2" s="2" t="s">
        <v>12</v>
      </c>
      <c r="J2" s="2" t="s">
        <v>13</v>
      </c>
      <c r="K2" s="2" t="s">
        <v>11</v>
      </c>
      <c r="L2" s="2" t="s">
        <v>12</v>
      </c>
      <c r="M2" s="2" t="s">
        <v>13</v>
      </c>
      <c r="N2" s="2" t="s">
        <v>11</v>
      </c>
      <c r="O2" s="2" t="s">
        <v>12</v>
      </c>
      <c r="P2" s="2" t="s">
        <v>13</v>
      </c>
    </row>
    <row r="3" spans="1:16" x14ac:dyDescent="0.25">
      <c r="A3" s="3" t="s">
        <v>17</v>
      </c>
      <c r="B3" s="3" t="s">
        <v>19</v>
      </c>
      <c r="C3" s="4">
        <v>45656</v>
      </c>
      <c r="D3" s="5" t="s">
        <v>14</v>
      </c>
      <c r="E3" s="6" t="s">
        <v>14</v>
      </c>
      <c r="F3" s="7" t="s">
        <v>14</v>
      </c>
      <c r="G3" s="8" t="s">
        <v>15</v>
      </c>
      <c r="H3" s="9">
        <v>0</v>
      </c>
      <c r="I3" s="10">
        <v>0</v>
      </c>
      <c r="J3" s="9">
        <f>+H3*I3</f>
        <v>0</v>
      </c>
      <c r="K3" s="9">
        <v>0</v>
      </c>
      <c r="L3" s="10">
        <v>0</v>
      </c>
      <c r="M3" s="9">
        <v>0</v>
      </c>
      <c r="N3" s="9">
        <v>248090.39799999999</v>
      </c>
      <c r="O3" s="10">
        <v>1.04626</v>
      </c>
      <c r="P3" s="9">
        <f>+N3*O3</f>
        <v>259567.05981147996</v>
      </c>
    </row>
    <row r="4" spans="1:16" x14ac:dyDescent="0.25">
      <c r="A4" s="3" t="s">
        <v>17</v>
      </c>
      <c r="B4" s="3" t="s">
        <v>19</v>
      </c>
      <c r="C4" s="4">
        <v>45659</v>
      </c>
      <c r="D4" s="5">
        <v>4</v>
      </c>
      <c r="E4" s="6" t="s">
        <v>18</v>
      </c>
      <c r="F4" s="7">
        <v>50600</v>
      </c>
      <c r="G4" s="8" t="s">
        <v>16</v>
      </c>
      <c r="H4" s="9">
        <v>0</v>
      </c>
      <c r="I4" s="10">
        <v>0</v>
      </c>
      <c r="J4" s="9">
        <f>+H4*I4</f>
        <v>0</v>
      </c>
      <c r="K4" s="9">
        <v>447.59500000000003</v>
      </c>
      <c r="L4" s="10">
        <v>1.04626</v>
      </c>
      <c r="M4" s="9">
        <f>+K4*L4</f>
        <v>468.3007447</v>
      </c>
      <c r="N4" s="9">
        <v>247642.80300000001</v>
      </c>
      <c r="O4" s="10">
        <v>1.04626</v>
      </c>
      <c r="P4" s="9">
        <f>+P3+J4-M4</f>
        <v>259098.75906677995</v>
      </c>
    </row>
  </sheetData>
  <mergeCells count="7">
    <mergeCell ref="N1:P1"/>
    <mergeCell ref="A1:A2"/>
    <mergeCell ref="B1:B2"/>
    <mergeCell ref="C1:F1"/>
    <mergeCell ref="G1:G2"/>
    <mergeCell ref="H1:J1"/>
    <mergeCell ref="K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ASESCON GROUP SAC</dc:creator>
  <cp:lastModifiedBy>ASESCON GROUP SAC</cp:lastModifiedBy>
  <dcterms:created xsi:type="dcterms:W3CDTF">2026-03-17T22:30:44Z</dcterms:created>
  <dcterms:modified xsi:type="dcterms:W3CDTF">2026-03-17T22:50:30Z</dcterms:modified>
</cp:coreProperties>
</file>